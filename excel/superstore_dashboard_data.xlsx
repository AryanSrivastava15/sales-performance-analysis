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C8262649-7BEE-40E4-93EA-29CEC44DAB10}" xr6:coauthVersionLast="47" xr6:coauthVersionMax="47" xr10:uidLastSave="{00000000-0000-0000-0000-000000000000}"/>
  <bookViews>
    <workbookView xWindow="240" yWindow="105" windowWidth="14805" windowHeight="8010" firstSheet="6" activeTab="6" xr2:uid="{00000000-000D-0000-FFFF-FFFF00000000}"/>
  </bookViews>
  <sheets>
    <sheet name="kpi" sheetId="1" r:id="rId1"/>
    <sheet name="category_performance" sheetId="2" r:id="rId2"/>
    <sheet name="sub_category_performance" sheetId="3" r:id="rId3"/>
    <sheet name="sub_category_profit_margin" sheetId="7" r:id="rId4"/>
    <sheet name="region_performance" sheetId="4" r:id="rId5"/>
    <sheet name="discount_analysis" sheetId="5" r:id="rId6"/>
    <sheet name="dashboard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6" l="1"/>
  <c r="D4" i="6"/>
  <c r="A4" i="6"/>
</calcChain>
</file>

<file path=xl/sharedStrings.xml><?xml version="1.0" encoding="utf-8"?>
<sst xmlns="http://schemas.openxmlformats.org/spreadsheetml/2006/main" count="70" uniqueCount="47">
  <si>
    <t>total_revenue</t>
  </si>
  <si>
    <t xml:space="preserve"> total_profit</t>
  </si>
  <si>
    <t xml:space="preserve"> total_quantity_sold</t>
  </si>
  <si>
    <t>category</t>
  </si>
  <si>
    <t>revenue</t>
  </si>
  <si>
    <t>profit</t>
  </si>
  <si>
    <t>quantity</t>
  </si>
  <si>
    <t>Technology</t>
  </si>
  <si>
    <t>Furniture</t>
  </si>
  <si>
    <t>Office Supplies</t>
  </si>
  <si>
    <t>sub_category</t>
  </si>
  <si>
    <t xml:space="preserve"> revenue</t>
  </si>
  <si>
    <t xml:space="preserve"> profit</t>
  </si>
  <si>
    <t xml:space="preserve"> quantity</t>
  </si>
  <si>
    <t>Phones</t>
  </si>
  <si>
    <t>Chairs</t>
  </si>
  <si>
    <t>Storage</t>
  </si>
  <si>
    <t>Tables</t>
  </si>
  <si>
    <t>Binders</t>
  </si>
  <si>
    <t>Machines</t>
  </si>
  <si>
    <t>Accessories</t>
  </si>
  <si>
    <t>Copiers</t>
  </si>
  <si>
    <t>Bookcases</t>
  </si>
  <si>
    <t>Appliances</t>
  </si>
  <si>
    <t>Furnishings</t>
  </si>
  <si>
    <t>Paper</t>
  </si>
  <si>
    <t>Supplies</t>
  </si>
  <si>
    <t>Art</t>
  </si>
  <si>
    <t>Envelopes</t>
  </si>
  <si>
    <t>Labels</t>
  </si>
  <si>
    <t>Fasteners</t>
  </si>
  <si>
    <t xml:space="preserve"> profit_margin</t>
  </si>
  <si>
    <t>region</t>
  </si>
  <si>
    <t>West</t>
  </si>
  <si>
    <t>East</t>
  </si>
  <si>
    <t>Central</t>
  </si>
  <si>
    <t>South</t>
  </si>
  <si>
    <t>discount_level</t>
  </si>
  <si>
    <t xml:space="preserve"> avg_profit</t>
  </si>
  <si>
    <t>Low Discount</t>
  </si>
  <si>
    <t>Medium Discount</t>
  </si>
  <si>
    <t>High Discount</t>
  </si>
  <si>
    <t>Sales Performance Dashboard</t>
  </si>
  <si>
    <t>Retail Superstore Analysis (SQL + Excel)</t>
  </si>
  <si>
    <t>Total Revenue</t>
  </si>
  <si>
    <t>Total Profit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</si>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</sst>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39]#,##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0000"/>
      <name val="Calibri"/>
      <charset val="1"/>
    </font>
    <font>
      <b/>
      <sz val="16"/>
      <color theme="1"/>
      <name val="Calibri"/>
      <family val="2"/>
      <scheme val="minor"/>
    </font>
    <font>
      <b/>
      <sz val="20"/>
      <color rgb="FF000000"/>
      <name val="Calibri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164" fontId="3" fillId="2" borderId="1" xfId="0" applyNumberFormat="1" applyFont="1" applyFill="1" applyBorder="1"/>
    <xf numFmtId="164" fontId="4" fillId="2" borderId="1" xfId="0" applyNumberFormat="1" applyFont="1" applyFill="1" applyBorder="1"/>
    <xf numFmtId="10" fontId="0" fillId="0" borderId="0" xfId="0" applyNumberFormat="1"/>
    <xf numFmtId="3" fontId="4" fillId="2" borderId="1" xfId="0" applyNumberFormat="1" applyFont="1" applyFill="1" applyBorder="1"/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8"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4" formatCode="0.00%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Which Category Drives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category_performance!$A$2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category_performance!$B$1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category_performance!$B$2</c:f>
              <c:numCache>
                <c:formatCode>General</c:formatCode>
                <c:ptCount val="1"/>
                <c:pt idx="0">
                  <c:v>836154.03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F97-4562-B8CA-69B30E55ACCE}"/>
            </c:ext>
          </c:extLst>
        </c:ser>
        <c:ser>
          <c:idx val="1"/>
          <c:order val="1"/>
          <c:tx>
            <c:strRef>
              <c:f>category_performance!$A$3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category_performance!$B$1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category_performance!$B$3</c:f>
              <c:numCache>
                <c:formatCode>General</c:formatCode>
                <c:ptCount val="1"/>
                <c:pt idx="0">
                  <c:v>741999.79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F97-4562-B8CA-69B30E55ACCE}"/>
            </c:ext>
          </c:extLst>
        </c:ser>
        <c:ser>
          <c:idx val="2"/>
          <c:order val="2"/>
          <c:tx>
            <c:strRef>
              <c:f>category_performance!$A$4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category_performance!$B$1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category_performance!$B$4</c:f>
              <c:numCache>
                <c:formatCode>General</c:formatCode>
                <c:ptCount val="1"/>
                <c:pt idx="0">
                  <c:v>719047.03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F97-4562-B8CA-69B30E55A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761992"/>
        <c:axId val="142764040"/>
      </c:barChart>
      <c:catAx>
        <c:axId val="142761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64040"/>
        <c:crosses val="autoZero"/>
        <c:auto val="1"/>
        <c:lblAlgn val="ctr"/>
        <c:lblOffset val="100"/>
        <c:noMultiLvlLbl val="0"/>
      </c:catAx>
      <c:valAx>
        <c:axId val="142764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61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vs Least Profitable Sub-Categories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sub_category_profit_margin!$D$1</c:f>
              <c:strCache>
                <c:ptCount val="1"/>
                <c:pt idx="0">
                  <c:v> profit_margin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sub_category_profit_margin!$A$2:$A$18</c:f>
              <c:strCache>
                <c:ptCount val="17"/>
                <c:pt idx="0">
                  <c:v>Labels</c:v>
                </c:pt>
                <c:pt idx="1">
                  <c:v>Paper</c:v>
                </c:pt>
                <c:pt idx="2">
                  <c:v>Envelopes</c:v>
                </c:pt>
                <c:pt idx="3">
                  <c:v>Copiers</c:v>
                </c:pt>
                <c:pt idx="4">
                  <c:v>Fasteners</c:v>
                </c:pt>
                <c:pt idx="5">
                  <c:v>Accessories</c:v>
                </c:pt>
                <c:pt idx="6">
                  <c:v>Art</c:v>
                </c:pt>
                <c:pt idx="7">
                  <c:v>Appliances</c:v>
                </c:pt>
                <c:pt idx="8">
                  <c:v>Binders</c:v>
                </c:pt>
                <c:pt idx="9">
                  <c:v>Furnishings</c:v>
                </c:pt>
                <c:pt idx="10">
                  <c:v>Phones</c:v>
                </c:pt>
                <c:pt idx="11">
                  <c:v>Storage</c:v>
                </c:pt>
                <c:pt idx="12">
                  <c:v>Chairs</c:v>
                </c:pt>
                <c:pt idx="13">
                  <c:v>Machines</c:v>
                </c:pt>
                <c:pt idx="14">
                  <c:v>Bookcases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sub_category_profit_margin!$D$2:$D$18</c:f>
              <c:numCache>
                <c:formatCode>0.00%</c:formatCode>
                <c:ptCount val="17"/>
                <c:pt idx="0">
                  <c:v>0.44</c:v>
                </c:pt>
                <c:pt idx="1">
                  <c:v>0.43</c:v>
                </c:pt>
                <c:pt idx="2">
                  <c:v>0.42</c:v>
                </c:pt>
                <c:pt idx="3">
                  <c:v>0.37</c:v>
                </c:pt>
                <c:pt idx="4">
                  <c:v>0.31</c:v>
                </c:pt>
                <c:pt idx="5">
                  <c:v>0.25</c:v>
                </c:pt>
                <c:pt idx="6">
                  <c:v>0.24</c:v>
                </c:pt>
                <c:pt idx="7">
                  <c:v>0.17</c:v>
                </c:pt>
                <c:pt idx="8">
                  <c:v>0.15</c:v>
                </c:pt>
                <c:pt idx="9">
                  <c:v>0.14000000000000001</c:v>
                </c:pt>
                <c:pt idx="10">
                  <c:v>0.13</c:v>
                </c:pt>
                <c:pt idx="11">
                  <c:v>0.1</c:v>
                </c:pt>
                <c:pt idx="12">
                  <c:v>0.08</c:v>
                </c:pt>
                <c:pt idx="13">
                  <c:v>0.02</c:v>
                </c:pt>
                <c:pt idx="14">
                  <c:v>-0.03</c:v>
                </c:pt>
                <c:pt idx="15">
                  <c:v>-0.03</c:v>
                </c:pt>
                <c:pt idx="16">
                  <c:v>-0.09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C2-4218-83CD-AEFD282C5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1300103"/>
        <c:axId val="1916285447"/>
      </c:barChart>
      <c:catAx>
        <c:axId val="1431300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285447"/>
        <c:crosses val="autoZero"/>
        <c:auto val="1"/>
        <c:lblAlgn val="ctr"/>
        <c:lblOffset val="100"/>
        <c:noMultiLvlLbl val="0"/>
      </c:catAx>
      <c:valAx>
        <c:axId val="1916285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300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Revenue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region_performance!$B$1</c:f>
              <c:strCache>
                <c:ptCount val="1"/>
                <c:pt idx="0">
                  <c:v>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region_performance!$A$2:$A$5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region_performance!$B$2:$B$5</c:f>
              <c:numCache>
                <c:formatCode>General</c:formatCode>
                <c:ptCount val="4"/>
                <c:pt idx="0">
                  <c:v>725457.82</c:v>
                </c:pt>
                <c:pt idx="1">
                  <c:v>678781.24</c:v>
                </c:pt>
                <c:pt idx="2">
                  <c:v>501239.89</c:v>
                </c:pt>
                <c:pt idx="3">
                  <c:v>391721.91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96-4E55-A745-D25CF3B48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784968"/>
        <c:axId val="2105573896"/>
      </c:barChart>
      <c:catAx>
        <c:axId val="87784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73896"/>
        <c:crosses val="autoZero"/>
        <c:auto val="1"/>
        <c:lblAlgn val="ctr"/>
        <c:lblOffset val="100"/>
        <c:noMultiLvlLbl val="0"/>
      </c:catAx>
      <c:valAx>
        <c:axId val="2105573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84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 of Discounts on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discount_analysis!$B$1</c:f>
              <c:strCache>
                <c:ptCount val="1"/>
                <c:pt idx="0">
                  <c:v> avg_profit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discount_analysis!$A$2:$A$4</c:f>
              <c:strCache>
                <c:ptCount val="3"/>
                <c:pt idx="0">
                  <c:v>Low Discount</c:v>
                </c:pt>
                <c:pt idx="1">
                  <c:v>Medium Discount</c:v>
                </c:pt>
                <c:pt idx="2">
                  <c:v>High Discount</c:v>
                </c:pt>
              </c:strCache>
            </c:strRef>
          </c:cat>
          <c:val>
            <c:numRef>
              <c:f>discount_analysis!$B$2:$B$4</c:f>
              <c:numCache>
                <c:formatCode>General</c:formatCode>
                <c:ptCount val="3"/>
                <c:pt idx="0">
                  <c:v>49.04</c:v>
                </c:pt>
                <c:pt idx="1">
                  <c:v>-109.53</c:v>
                </c:pt>
                <c:pt idx="2">
                  <c:v>-89.44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E9-4E92-9C21-344190ACB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7367304"/>
        <c:axId val="1011233287"/>
      </c:barChart>
      <c:catAx>
        <c:axId val="1557367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FFFFF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233287"/>
        <c:crosses val="autoZero"/>
        <c:auto val="1"/>
        <c:lblAlgn val="ctr"/>
        <c:lblOffset val="100"/>
        <c:noMultiLvlLbl val="0"/>
      </c:catAx>
      <c:valAx>
        <c:axId val="1011233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367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F2F2F2"/>
        </a:solidFill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180975</xdr:rowOff>
    </xdr:from>
    <xdr:to>
      <xdr:col>4</xdr:col>
      <xdr:colOff>771525</xdr:colOff>
      <xdr:row>17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8317D5-295F-90C3-A4A2-B47AFB7C4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285750</xdr:colOff>
      <xdr:row>4</xdr:row>
      <xdr:rowOff>180975</xdr:rowOff>
    </xdr:from>
    <xdr:to>
      <xdr:col>11</xdr:col>
      <xdr:colOff>409575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2FAC5C-5B44-7DA4-1029-0FCB1F607B0F}"/>
            </a:ext>
            <a:ext uri="{147F2762-F138-4A5C-976F-8EAC2B608ADB}">
              <a16:predDERef xmlns:a16="http://schemas.microsoft.com/office/drawing/2014/main" pred="{A18317D5-295F-90C3-A4A2-B47AFB7C4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19</xdr:row>
      <xdr:rowOff>0</xdr:rowOff>
    </xdr:from>
    <xdr:to>
      <xdr:col>5</xdr:col>
      <xdr:colOff>9525</xdr:colOff>
      <xdr:row>31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AE4467-ABA8-13F8-B736-9BDCDDAF6DBE}"/>
            </a:ext>
            <a:ext uri="{147F2762-F138-4A5C-976F-8EAC2B608ADB}">
              <a16:predDERef xmlns:a16="http://schemas.microsoft.com/office/drawing/2014/main" pred="{A62FAC5C-5B44-7DA4-1029-0FCB1F607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285750</xdr:colOff>
      <xdr:row>18</xdr:row>
      <xdr:rowOff>161925</xdr:rowOff>
    </xdr:from>
    <xdr:to>
      <xdr:col>11</xdr:col>
      <xdr:colOff>400050</xdr:colOff>
      <xdr:row>31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6546BD-082D-BA2D-DC08-966BF7B9BDC1}"/>
            </a:ext>
            <a:ext uri="{147F2762-F138-4A5C-976F-8EAC2B608ADB}">
              <a16:predDERef xmlns:a16="http://schemas.microsoft.com/office/drawing/2014/main" pred="{05AE4467-ABA8-13F8-B736-9BDCDDAF6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BDA515-6CF4-48F3-83D0-44918305B3F5}" name="Table1" displayName="Table1" ref="A1:C2" totalsRowShown="0">
  <autoFilter ref="A1:C2" xr:uid="{E1BDA515-6CF4-48F3-83D0-44918305B3F5}"/>
  <tableColumns count="3">
    <tableColumn id="1" xr3:uid="{5C63A2B7-7DE8-46EC-BCC9-FA358637DB36}" name="total_revenue"/>
    <tableColumn id="2" xr3:uid="{A7884E30-66A7-4238-9C6A-6752E8D252CE}" name=" total_profit"/>
    <tableColumn id="3" xr3:uid="{F3A47EFF-7275-4468-ADFF-38FCA455310B}" name=" total_quantity_sol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AE026B-83E8-4FD5-A1DA-9276A067832D}" name="Table2" displayName="Table2" ref="A1:D4" totalsRowShown="0" headerRowDxfId="7">
  <autoFilter ref="A1:D4" xr:uid="{4CAE026B-83E8-4FD5-A1DA-9276A067832D}"/>
  <tableColumns count="4">
    <tableColumn id="1" xr3:uid="{4538F17B-957A-46E8-A589-21D21FD71DE7}" name="category"/>
    <tableColumn id="2" xr3:uid="{2B5F613D-50DD-4222-91AD-F006618AD29A}" name="revenue"/>
    <tableColumn id="3" xr3:uid="{7ACD4B8F-B946-40B1-A7FB-9661333A03CC}" name="profit"/>
    <tableColumn id="4" xr3:uid="{DFF19EE4-EAE7-4B1D-B9CA-9C7787FF25D2}" name="quant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15C93F-9108-427A-97C2-7DBD45944AFF}" name="Table3" displayName="Table3" ref="A1:D18" totalsRowShown="0" headerRowDxfId="6">
  <autoFilter ref="A1:D18" xr:uid="{B015C93F-9108-427A-97C2-7DBD45944AFF}"/>
  <tableColumns count="4">
    <tableColumn id="1" xr3:uid="{3867C673-DDF4-4E48-9C3A-794CD2AAF1B8}" name="sub_category"/>
    <tableColumn id="2" xr3:uid="{74B553FE-1376-4739-8393-B9D94CC5247C}" name=" revenue"/>
    <tableColumn id="3" xr3:uid="{8A13F508-D0B0-4DD2-97EA-F7D75364DA31}" name=" profit"/>
    <tableColumn id="4" xr3:uid="{1A57853A-E3E3-4E62-8810-EA3F78F8311F}" name=" quant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854FDA-F6F2-4E94-B2F3-126B158A5FFE}" name="Table4" displayName="Table4" ref="A1:D18" totalsRowShown="0" headerRowDxfId="5">
  <autoFilter ref="A1:D18" xr:uid="{8F854FDA-F6F2-4E94-B2F3-126B158A5FFE}"/>
  <tableColumns count="4">
    <tableColumn id="1" xr3:uid="{B0DC1FFB-B2A2-4AD5-9C2B-85123399B93F}" name="sub_category" dataDxfId="4"/>
    <tableColumn id="2" xr3:uid="{C44BD131-E544-4E46-8B79-4A18104650F9}" name=" revenue"/>
    <tableColumn id="3" xr3:uid="{154ACCB3-EA87-48BC-B936-01191326DF69}" name=" profit"/>
    <tableColumn id="4" xr3:uid="{F6AA30EC-61FD-4D11-8CF5-852681359747}" name=" profit_margin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E38D03-6297-4A82-9538-2DF3B2C31A76}" name="Table5" displayName="Table5" ref="A1:D5" totalsRowShown="0" headerRowDxfId="2">
  <autoFilter ref="A1:D5" xr:uid="{70E38D03-6297-4A82-9538-2DF3B2C31A76}"/>
  <tableColumns count="4">
    <tableColumn id="1" xr3:uid="{4C7CDB22-F65D-497B-8831-4AC36D75341F}" name="region"/>
    <tableColumn id="2" xr3:uid="{76F40581-DC65-4B4C-9434-805311355C72}" name=" revenue"/>
    <tableColumn id="3" xr3:uid="{2235A85C-BBD5-40AC-A8D8-ED63D093D68C}" name=" profit"/>
    <tableColumn id="4" xr3:uid="{2852A2F9-53BA-4346-9A3C-1220530423D5}" name=" quantit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09887B-FD61-4EC8-8AA7-512DFC991EBE}" name="Table6" displayName="Table6" ref="A1:B4" totalsRowShown="0" headerRowDxfId="1">
  <autoFilter ref="A1:B4" xr:uid="{6709887B-FD61-4EC8-8AA7-512DFC991EBE}"/>
  <tableColumns count="2">
    <tableColumn id="1" xr3:uid="{A8731E68-1C54-474C-AE4F-E97F923B97EE}" name="discount_level" dataDxfId="0"/>
    <tableColumn id="2" xr3:uid="{A9EF3D5F-F460-4C1D-A2A9-DCA2C00AF48F}" name=" avg_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B14" sqref="B14"/>
    </sheetView>
  </sheetViews>
  <sheetFormatPr defaultRowHeight="15"/>
  <cols>
    <col min="1" max="1" width="16.85546875" customWidth="1"/>
    <col min="2" max="2" width="14" customWidth="1"/>
    <col min="3" max="3" width="21.7109375" customWidth="1"/>
  </cols>
  <sheetData>
    <row r="1" spans="1:3" ht="19.5" customHeight="1">
      <c r="A1" s="7" t="s">
        <v>0</v>
      </c>
      <c r="B1" s="6" t="s">
        <v>1</v>
      </c>
      <c r="C1" s="6" t="s">
        <v>2</v>
      </c>
    </row>
    <row r="2" spans="1:3">
      <c r="A2" s="2">
        <v>2297200.86</v>
      </c>
      <c r="B2">
        <v>286397.02</v>
      </c>
      <c r="C2">
        <v>37873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103A1-9EEA-42C2-8BAC-D9AD924BA5F0}">
  <dimension ref="A1:D4"/>
  <sheetViews>
    <sheetView workbookViewId="0">
      <selection sqref="A1:D4"/>
    </sheetView>
  </sheetViews>
  <sheetFormatPr defaultRowHeight="15"/>
  <cols>
    <col min="1" max="1" width="13.7109375" bestFit="1" customWidth="1"/>
    <col min="2" max="2" width="10.42578125" bestFit="1" customWidth="1"/>
    <col min="3" max="3" width="10.140625" bestFit="1" customWidth="1"/>
    <col min="4" max="4" width="10.7109375" bestFit="1" customWidth="1"/>
  </cols>
  <sheetData>
    <row r="1" spans="1:4">
      <c r="A1" s="5" t="s">
        <v>3</v>
      </c>
      <c r="B1" s="5" t="s">
        <v>4</v>
      </c>
      <c r="C1" s="5" t="s">
        <v>5</v>
      </c>
      <c r="D1" s="5" t="s">
        <v>6</v>
      </c>
    </row>
    <row r="2" spans="1:4">
      <c r="A2" t="s">
        <v>7</v>
      </c>
      <c r="B2">
        <v>836154.03</v>
      </c>
      <c r="C2">
        <v>145454.95000000001</v>
      </c>
      <c r="D2">
        <v>6939</v>
      </c>
    </row>
    <row r="3" spans="1:4">
      <c r="A3" t="s">
        <v>8</v>
      </c>
      <c r="B3">
        <v>741999.79</v>
      </c>
      <c r="C3">
        <v>18451.27</v>
      </c>
      <c r="D3">
        <v>8028</v>
      </c>
    </row>
    <row r="4" spans="1:4">
      <c r="A4" t="s">
        <v>9</v>
      </c>
      <c r="B4">
        <v>719047.03</v>
      </c>
      <c r="C4">
        <v>122490.8</v>
      </c>
      <c r="D4">
        <v>22906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04CAD-2E1E-431A-B55A-EE5530EA3FEE}">
  <dimension ref="A1:D18"/>
  <sheetViews>
    <sheetView workbookViewId="0">
      <selection sqref="A1:D18"/>
    </sheetView>
  </sheetViews>
  <sheetFormatPr defaultRowHeight="15"/>
  <cols>
    <col min="1" max="1" width="15.140625" bestFit="1" customWidth="1"/>
    <col min="2" max="4" width="14.140625" customWidth="1"/>
  </cols>
  <sheetData>
    <row r="1" spans="1:4">
      <c r="A1" s="5" t="s">
        <v>10</v>
      </c>
      <c r="B1" s="5" t="s">
        <v>11</v>
      </c>
      <c r="C1" s="5" t="s">
        <v>12</v>
      </c>
      <c r="D1" s="5" t="s">
        <v>13</v>
      </c>
    </row>
    <row r="2" spans="1:4">
      <c r="A2" t="s">
        <v>14</v>
      </c>
      <c r="B2">
        <v>330007.05</v>
      </c>
      <c r="C2">
        <v>44515.73</v>
      </c>
      <c r="D2">
        <v>3289</v>
      </c>
    </row>
    <row r="3" spans="1:4">
      <c r="A3" t="s">
        <v>15</v>
      </c>
      <c r="B3">
        <v>328449.09999999998</v>
      </c>
      <c r="C3">
        <v>26590.17</v>
      </c>
      <c r="D3">
        <v>2356</v>
      </c>
    </row>
    <row r="4" spans="1:4">
      <c r="A4" t="s">
        <v>16</v>
      </c>
      <c r="B4">
        <v>223843.61</v>
      </c>
      <c r="C4">
        <v>21278.83</v>
      </c>
      <c r="D4">
        <v>3158</v>
      </c>
    </row>
    <row r="5" spans="1:4">
      <c r="A5" t="s">
        <v>17</v>
      </c>
      <c r="B5">
        <v>206965.53</v>
      </c>
      <c r="C5">
        <v>-17725.48</v>
      </c>
      <c r="D5">
        <v>1241</v>
      </c>
    </row>
    <row r="6" spans="1:4">
      <c r="A6" t="s">
        <v>18</v>
      </c>
      <c r="B6">
        <v>203412.73</v>
      </c>
      <c r="C6">
        <v>30221.759999999998</v>
      </c>
      <c r="D6">
        <v>5974</v>
      </c>
    </row>
    <row r="7" spans="1:4">
      <c r="A7" t="s">
        <v>19</v>
      </c>
      <c r="B7">
        <v>189238.63</v>
      </c>
      <c r="C7">
        <v>3384.76</v>
      </c>
      <c r="D7">
        <v>440</v>
      </c>
    </row>
    <row r="8" spans="1:4">
      <c r="A8" t="s">
        <v>20</v>
      </c>
      <c r="B8">
        <v>167380.32</v>
      </c>
      <c r="C8">
        <v>41936.639999999999</v>
      </c>
      <c r="D8">
        <v>2976</v>
      </c>
    </row>
    <row r="9" spans="1:4">
      <c r="A9" t="s">
        <v>21</v>
      </c>
      <c r="B9">
        <v>149528.03</v>
      </c>
      <c r="C9">
        <v>55617.82</v>
      </c>
      <c r="D9">
        <v>234</v>
      </c>
    </row>
    <row r="10" spans="1:4">
      <c r="A10" t="s">
        <v>22</v>
      </c>
      <c r="B10">
        <v>114880</v>
      </c>
      <c r="C10">
        <v>-3472.56</v>
      </c>
      <c r="D10">
        <v>868</v>
      </c>
    </row>
    <row r="11" spans="1:4">
      <c r="A11" t="s">
        <v>23</v>
      </c>
      <c r="B11">
        <v>107532.16</v>
      </c>
      <c r="C11">
        <v>18138.009999999998</v>
      </c>
      <c r="D11">
        <v>1729</v>
      </c>
    </row>
    <row r="12" spans="1:4">
      <c r="A12" t="s">
        <v>24</v>
      </c>
      <c r="B12">
        <v>91705.16</v>
      </c>
      <c r="C12">
        <v>13059.14</v>
      </c>
      <c r="D12">
        <v>3563</v>
      </c>
    </row>
    <row r="13" spans="1:4">
      <c r="A13" t="s">
        <v>25</v>
      </c>
      <c r="B13">
        <v>78479.210000000006</v>
      </c>
      <c r="C13">
        <v>34053.57</v>
      </c>
      <c r="D13">
        <v>5178</v>
      </c>
    </row>
    <row r="14" spans="1:4">
      <c r="A14" t="s">
        <v>26</v>
      </c>
      <c r="B14">
        <v>46673.54</v>
      </c>
      <c r="C14">
        <v>-1189.0999999999999</v>
      </c>
      <c r="D14">
        <v>647</v>
      </c>
    </row>
    <row r="15" spans="1:4">
      <c r="A15" t="s">
        <v>27</v>
      </c>
      <c r="B15">
        <v>27118.79</v>
      </c>
      <c r="C15">
        <v>6527.79</v>
      </c>
      <c r="D15">
        <v>3000</v>
      </c>
    </row>
    <row r="16" spans="1:4">
      <c r="A16" t="s">
        <v>28</v>
      </c>
      <c r="B16">
        <v>16476.400000000001</v>
      </c>
      <c r="C16">
        <v>6964.18</v>
      </c>
      <c r="D16">
        <v>906</v>
      </c>
    </row>
    <row r="17" spans="1:4">
      <c r="A17" t="s">
        <v>29</v>
      </c>
      <c r="B17">
        <v>12486.31</v>
      </c>
      <c r="C17">
        <v>5546.25</v>
      </c>
      <c r="D17">
        <v>1400</v>
      </c>
    </row>
    <row r="18" spans="1:4">
      <c r="A18" t="s">
        <v>30</v>
      </c>
      <c r="B18">
        <v>3024.28</v>
      </c>
      <c r="C18">
        <v>949.52</v>
      </c>
      <c r="D18">
        <v>914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493D2-6916-4131-87D8-2B57DAB97290}">
  <dimension ref="A1:D18"/>
  <sheetViews>
    <sheetView workbookViewId="0">
      <selection sqref="A1:D18"/>
    </sheetView>
  </sheetViews>
  <sheetFormatPr defaultRowHeight="15"/>
  <cols>
    <col min="1" max="4" width="17.42578125" customWidth="1"/>
  </cols>
  <sheetData>
    <row r="1" spans="1:4">
      <c r="A1" s="3" t="s">
        <v>10</v>
      </c>
      <c r="B1" s="4" t="s">
        <v>11</v>
      </c>
      <c r="C1" s="4" t="s">
        <v>12</v>
      </c>
      <c r="D1" s="4" t="s">
        <v>31</v>
      </c>
    </row>
    <row r="2" spans="1:4">
      <c r="A2" s="1" t="s">
        <v>29</v>
      </c>
      <c r="B2">
        <v>12486.3119630813</v>
      </c>
      <c r="C2">
        <v>5546.2540284991201</v>
      </c>
      <c r="D2" s="12">
        <v>0.44</v>
      </c>
    </row>
    <row r="3" spans="1:4">
      <c r="A3" s="1" t="s">
        <v>25</v>
      </c>
      <c r="B3">
        <v>78479.205672264099</v>
      </c>
      <c r="C3">
        <v>34053.569134831399</v>
      </c>
      <c r="D3" s="12">
        <v>0.43</v>
      </c>
    </row>
    <row r="4" spans="1:4">
      <c r="A4" s="1" t="s">
        <v>28</v>
      </c>
      <c r="B4">
        <v>16476.401987552599</v>
      </c>
      <c r="C4">
        <v>6964.1766657233202</v>
      </c>
      <c r="D4" s="12">
        <v>0.42</v>
      </c>
    </row>
    <row r="5" spans="1:4">
      <c r="A5" s="1" t="s">
        <v>21</v>
      </c>
      <c r="B5">
        <v>149528.027648925</v>
      </c>
      <c r="C5">
        <v>55617.824600219697</v>
      </c>
      <c r="D5" s="12">
        <v>0.37</v>
      </c>
    </row>
    <row r="6" spans="1:4">
      <c r="A6" s="1" t="s">
        <v>30</v>
      </c>
      <c r="B6">
        <v>3024.2799910306899</v>
      </c>
      <c r="C6">
        <v>949.51819612830798</v>
      </c>
      <c r="D6" s="12">
        <v>0.31</v>
      </c>
    </row>
    <row r="7" spans="1:4">
      <c r="A7" s="1" t="s">
        <v>20</v>
      </c>
      <c r="B7">
        <v>167380.31787025899</v>
      </c>
      <c r="C7">
        <v>41936.635695822501</v>
      </c>
      <c r="D7" s="12">
        <v>0.25</v>
      </c>
    </row>
    <row r="8" spans="1:4">
      <c r="A8" s="1" t="s">
        <v>27</v>
      </c>
      <c r="B8">
        <v>27118.7920683622</v>
      </c>
      <c r="C8">
        <v>6527.7869816869497</v>
      </c>
      <c r="D8" s="12">
        <v>0.24</v>
      </c>
    </row>
    <row r="9" spans="1:4">
      <c r="A9" s="1" t="s">
        <v>23</v>
      </c>
      <c r="B9">
        <v>107532.16130316201</v>
      </c>
      <c r="C9">
        <v>18138.005361765601</v>
      </c>
      <c r="D9" s="12">
        <v>0.17</v>
      </c>
    </row>
    <row r="10" spans="1:4">
      <c r="A10" s="1" t="s">
        <v>18</v>
      </c>
      <c r="B10">
        <v>203412.73243826599</v>
      </c>
      <c r="C10">
        <v>30221.763376444502</v>
      </c>
      <c r="D10" s="12">
        <v>0.15</v>
      </c>
    </row>
    <row r="11" spans="1:4">
      <c r="A11" s="1" t="s">
        <v>24</v>
      </c>
      <c r="B11">
        <v>91705.163742422999</v>
      </c>
      <c r="C11">
        <v>13059.1435655653</v>
      </c>
      <c r="D11" s="12">
        <v>0.14000000000000001</v>
      </c>
    </row>
    <row r="12" spans="1:4">
      <c r="A12" s="1" t="s">
        <v>14</v>
      </c>
      <c r="B12">
        <v>330007.054325342</v>
      </c>
      <c r="C12">
        <v>44515.7305179834</v>
      </c>
      <c r="D12" s="12">
        <v>0.13</v>
      </c>
    </row>
    <row r="13" spans="1:4">
      <c r="A13" s="1" t="s">
        <v>16</v>
      </c>
      <c r="B13">
        <v>223843.60876417099</v>
      </c>
      <c r="C13">
        <v>21278.826392218401</v>
      </c>
      <c r="D13" s="12">
        <v>0.1</v>
      </c>
    </row>
    <row r="14" spans="1:4">
      <c r="A14" s="1" t="s">
        <v>15</v>
      </c>
      <c r="B14">
        <v>328449.10232925398</v>
      </c>
      <c r="C14">
        <v>26590.166241466999</v>
      </c>
      <c r="D14" s="12">
        <v>0.08</v>
      </c>
    </row>
    <row r="15" spans="1:4">
      <c r="A15" s="1" t="s">
        <v>19</v>
      </c>
      <c r="B15">
        <v>189238.63101768401</v>
      </c>
      <c r="C15">
        <v>3384.75663900375</v>
      </c>
      <c r="D15" s="12">
        <v>0.02</v>
      </c>
    </row>
    <row r="16" spans="1:4">
      <c r="A16" s="1" t="s">
        <v>22</v>
      </c>
      <c r="B16">
        <v>114879.996025085</v>
      </c>
      <c r="C16">
        <v>-3472.5560364723201</v>
      </c>
      <c r="D16" s="12">
        <v>-0.03</v>
      </c>
    </row>
    <row r="17" spans="1:4">
      <c r="A17" s="1" t="s">
        <v>26</v>
      </c>
      <c r="B17">
        <v>46673.537095785097</v>
      </c>
      <c r="C17">
        <v>-1189.0994900614</v>
      </c>
      <c r="D17" s="12">
        <v>-0.03</v>
      </c>
    </row>
    <row r="18" spans="1:4">
      <c r="A18" s="1" t="s">
        <v>17</v>
      </c>
      <c r="B18">
        <v>206965.53160667399</v>
      </c>
      <c r="C18">
        <v>-17725.481059908801</v>
      </c>
      <c r="D18" s="12">
        <v>-0.09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4DB59-7BA7-45E1-A726-EC00D037AF52}">
  <dimension ref="A1:D5"/>
  <sheetViews>
    <sheetView workbookViewId="0">
      <selection sqref="A1:D5"/>
    </sheetView>
  </sheetViews>
  <sheetFormatPr defaultRowHeight="15"/>
  <cols>
    <col min="1" max="4" width="12.5703125" customWidth="1"/>
  </cols>
  <sheetData>
    <row r="1" spans="1:4">
      <c r="A1" s="5" t="s">
        <v>32</v>
      </c>
      <c r="B1" s="5" t="s">
        <v>11</v>
      </c>
      <c r="C1" s="5" t="s">
        <v>12</v>
      </c>
      <c r="D1" s="5" t="s">
        <v>13</v>
      </c>
    </row>
    <row r="2" spans="1:4">
      <c r="A2" t="s">
        <v>33</v>
      </c>
      <c r="B2">
        <v>725457.82</v>
      </c>
      <c r="C2">
        <v>108418.45</v>
      </c>
      <c r="D2">
        <v>12266</v>
      </c>
    </row>
    <row r="3" spans="1:4">
      <c r="A3" t="s">
        <v>34</v>
      </c>
      <c r="B3">
        <v>678781.24</v>
      </c>
      <c r="C3">
        <v>91522.78</v>
      </c>
      <c r="D3">
        <v>10618</v>
      </c>
    </row>
    <row r="4" spans="1:4">
      <c r="A4" t="s">
        <v>35</v>
      </c>
      <c r="B4">
        <v>501239.89</v>
      </c>
      <c r="C4">
        <v>39706.36</v>
      </c>
      <c r="D4">
        <v>8780</v>
      </c>
    </row>
    <row r="5" spans="1:4">
      <c r="A5" t="s">
        <v>36</v>
      </c>
      <c r="B5">
        <v>391721.91</v>
      </c>
      <c r="C5">
        <v>46749.43</v>
      </c>
      <c r="D5">
        <v>6209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9DF4-D1F4-4E73-AA8F-019527D8979F}">
  <dimension ref="A1:B4"/>
  <sheetViews>
    <sheetView workbookViewId="0">
      <selection sqref="A1:B4"/>
    </sheetView>
  </sheetViews>
  <sheetFormatPr defaultRowHeight="15"/>
  <cols>
    <col min="1" max="1" width="23.28515625" customWidth="1"/>
    <col min="2" max="2" width="13.42578125" customWidth="1"/>
  </cols>
  <sheetData>
    <row r="1" spans="1:2">
      <c r="A1" s="5" t="s">
        <v>37</v>
      </c>
      <c r="B1" s="5" t="s">
        <v>38</v>
      </c>
    </row>
    <row r="2" spans="1:2">
      <c r="A2" s="1" t="s">
        <v>39</v>
      </c>
      <c r="B2">
        <v>49.04</v>
      </c>
    </row>
    <row r="3" spans="1:2">
      <c r="A3" s="1" t="s">
        <v>40</v>
      </c>
      <c r="B3">
        <v>-109.53</v>
      </c>
    </row>
    <row r="4" spans="1:2">
      <c r="A4" s="1" t="s">
        <v>41</v>
      </c>
      <c r="B4">
        <v>-89.44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D8785-0475-48BE-B253-8A952E78B877}">
  <dimension ref="A1:L4"/>
  <sheetViews>
    <sheetView tabSelected="1" topLeftCell="B1" workbookViewId="0">
      <selection sqref="A1:L32"/>
    </sheetView>
  </sheetViews>
  <sheetFormatPr defaultRowHeight="15"/>
  <cols>
    <col min="1" max="1" width="19.85546875" customWidth="1"/>
    <col min="2" max="3" width="11.7109375" customWidth="1"/>
    <col min="4" max="4" width="19.85546875" customWidth="1"/>
    <col min="5" max="6" width="11.7109375" customWidth="1"/>
    <col min="7" max="7" width="15.140625" customWidth="1"/>
  </cols>
  <sheetData>
    <row r="1" spans="1:12" ht="24.75" customHeight="1">
      <c r="A1" s="14" t="s">
        <v>42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5.75">
      <c r="A2" s="16" t="s">
        <v>43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ht="16.5" customHeight="1">
      <c r="A3" s="8" t="s">
        <v>44</v>
      </c>
      <c r="B3" s="6"/>
      <c r="C3" s="6"/>
      <c r="D3" s="9" t="s">
        <v>45</v>
      </c>
      <c r="G3" s="8" t="s">
        <v>46</v>
      </c>
    </row>
    <row r="4" spans="1:12" ht="21">
      <c r="A4" s="10">
        <f>kpi!A2</f>
        <v>2297200.86</v>
      </c>
      <c r="D4" s="11">
        <f>kpi!B2</f>
        <v>286397.02</v>
      </c>
      <c r="G4" s="13">
        <f>kpi!C2</f>
        <v>37873</v>
      </c>
    </row>
  </sheetData>
  <mergeCells count="2">
    <mergeCell ref="A1:L1"/>
    <mergeCell ref="A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2026-02-23T08:15:48Z</dcterms:created>
  <dcterms:modified xsi:type="dcterms:W3CDTF">2026-02-23T09:16:14Z</dcterms:modified>
  <cp:category/>
  <cp:contentStatus/>
</cp:coreProperties>
</file>